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VLOOKUP_AND_XLOOKUP\"/>
    </mc:Choice>
  </mc:AlternateContent>
  <xr:revisionPtr revIDLastSave="0" documentId="13_ncr:1_{C0D960ED-D33E-45E0-8633-E432560C9135}" xr6:coauthVersionLast="47" xr6:coauthVersionMax="47" xr10:uidLastSave="{00000000-0000-0000-0000-000000000000}"/>
  <bookViews>
    <workbookView xWindow="8040" yWindow="207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ity">Sheet1!$C$6:$E$26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6" i="1"/>
  <c r="I6" i="1"/>
</calcChain>
</file>

<file path=xl/sharedStrings.xml><?xml version="1.0" encoding="utf-8"?>
<sst xmlns="http://schemas.openxmlformats.org/spreadsheetml/2006/main" count="31" uniqueCount="27">
  <si>
    <t>Lat</t>
  </si>
  <si>
    <t>Long</t>
  </si>
  <si>
    <t>New York</t>
  </si>
  <si>
    <t>Boston</t>
  </si>
  <si>
    <t>Philadelphia</t>
  </si>
  <si>
    <t>Charlotte</t>
  </si>
  <si>
    <t>Atlanta</t>
  </si>
  <si>
    <t>New Orleans</t>
  </si>
  <si>
    <t>Miami</t>
  </si>
  <si>
    <t>Dallas</t>
  </si>
  <si>
    <t>Houston</t>
  </si>
  <si>
    <t>Chicago</t>
  </si>
  <si>
    <t>Detroit</t>
  </si>
  <si>
    <t>Cleveland</t>
  </si>
  <si>
    <t>Indy</t>
  </si>
  <si>
    <t>Denver</t>
  </si>
  <si>
    <t>Minneapolis</t>
  </si>
  <si>
    <t>Phoenix</t>
  </si>
  <si>
    <t>Salt Lake City</t>
  </si>
  <si>
    <t>LA</t>
  </si>
  <si>
    <t>SF</t>
  </si>
  <si>
    <t>SD</t>
  </si>
  <si>
    <t>Seattle</t>
  </si>
  <si>
    <t>City</t>
  </si>
  <si>
    <t>distance between LA and SD</t>
  </si>
  <si>
    <t>Formula</t>
  </si>
  <si>
    <t>distance bewteen New Orleans and 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</si>
</sst>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26"/>
  <sheetViews>
    <sheetView tabSelected="1" workbookViewId="0">
      <selection activeCell="H9" sqref="H9"/>
    </sheetView>
  </sheetViews>
  <sheetFormatPr defaultRowHeight="15" x14ac:dyDescent="0.25"/>
  <cols>
    <col min="3" max="3" width="12.7109375" customWidth="1"/>
    <col min="7" max="7" width="12.42578125" bestFit="1" customWidth="1"/>
    <col min="8" max="8" width="40.28515625" bestFit="1" customWidth="1"/>
    <col min="9" max="9" width="108.85546875" bestFit="1" customWidth="1"/>
  </cols>
  <sheetData>
    <row r="5" spans="3:9" x14ac:dyDescent="0.25">
      <c r="D5" t="s">
        <v>0</v>
      </c>
      <c r="E5" t="s">
        <v>1</v>
      </c>
      <c r="G5" t="s">
        <v>23</v>
      </c>
      <c r="H5" t="s">
        <v>24</v>
      </c>
      <c r="I5" t="s">
        <v>25</v>
      </c>
    </row>
    <row r="6" spans="3:9" x14ac:dyDescent="0.25">
      <c r="C6" t="s">
        <v>2</v>
      </c>
      <c r="D6">
        <v>40.700000000000003</v>
      </c>
      <c r="E6">
        <v>73.900000000000006</v>
      </c>
      <c r="G6" t="s">
        <v>19</v>
      </c>
      <c r="H6">
        <f>69*(VLOOKUP(G6,city,2,FALSE)-VLOOKUP(G7,city,2,FALSE))^2+(VLOOKUP(G6,city,3,FALSE)-VLOOKUP(G7,city,3,FALSE))^2</f>
        <v>118.30000000000079</v>
      </c>
      <c r="I6" t="str">
        <f ca="1">_xlfn.FORMULATEXT(H6)</f>
        <v>=69*(VLOOKUP(G6,city,2,FALSE)-VLOOKUP(G7,city,2,FALSE))^2+(VLOOKUP(G6,city,3,FALSE)-VLOOKUP(G7,city,3,FALSE))^2</v>
      </c>
    </row>
    <row r="7" spans="3:9" x14ac:dyDescent="0.25">
      <c r="C7" t="s">
        <v>3</v>
      </c>
      <c r="D7">
        <v>42.3</v>
      </c>
      <c r="E7">
        <v>71</v>
      </c>
      <c r="G7" t="s">
        <v>21</v>
      </c>
      <c r="H7" t="s">
        <v>26</v>
      </c>
    </row>
    <row r="8" spans="3:9" x14ac:dyDescent="0.25">
      <c r="C8" t="s">
        <v>4</v>
      </c>
      <c r="D8">
        <v>40</v>
      </c>
      <c r="E8">
        <v>75.099999999999994</v>
      </c>
      <c r="G8" t="s">
        <v>7</v>
      </c>
      <c r="H8">
        <f>69*(VLOOKUP(G9,city,2,FALSE)-VLOOKUP(G8,city,2,FALSE))^2+(VLOOKUP(G9,city,3,FALSE)-VLOOKUP(G8,city,3,FALSE))^2</f>
        <v>1026.6099999999985</v>
      </c>
    </row>
    <row r="9" spans="3:9" x14ac:dyDescent="0.25">
      <c r="C9" t="s">
        <v>5</v>
      </c>
      <c r="D9">
        <v>35.200000000000003</v>
      </c>
      <c r="E9">
        <v>80.8</v>
      </c>
      <c r="G9" t="s">
        <v>6</v>
      </c>
    </row>
    <row r="10" spans="3:9" x14ac:dyDescent="0.25">
      <c r="C10" t="s">
        <v>6</v>
      </c>
      <c r="D10">
        <v>33.799999999999997</v>
      </c>
      <c r="E10">
        <v>84.4</v>
      </c>
    </row>
    <row r="11" spans="3:9" x14ac:dyDescent="0.25">
      <c r="C11" t="s">
        <v>7</v>
      </c>
      <c r="D11">
        <v>30</v>
      </c>
      <c r="E11">
        <v>89.9</v>
      </c>
    </row>
    <row r="12" spans="3:9" x14ac:dyDescent="0.25">
      <c r="C12" t="s">
        <v>8</v>
      </c>
      <c r="D12">
        <v>25.8</v>
      </c>
      <c r="E12">
        <v>80.2</v>
      </c>
    </row>
    <row r="13" spans="3:9" x14ac:dyDescent="0.25">
      <c r="C13" t="s">
        <v>9</v>
      </c>
      <c r="D13">
        <v>32.799999999999997</v>
      </c>
      <c r="E13">
        <v>96.8</v>
      </c>
    </row>
    <row r="14" spans="3:9" x14ac:dyDescent="0.25">
      <c r="C14" t="s">
        <v>10</v>
      </c>
      <c r="D14">
        <v>29.8</v>
      </c>
      <c r="E14">
        <v>95.4</v>
      </c>
    </row>
    <row r="15" spans="3:9" x14ac:dyDescent="0.25">
      <c r="C15" t="s">
        <v>11</v>
      </c>
      <c r="D15">
        <v>41.8</v>
      </c>
      <c r="E15">
        <v>87.7</v>
      </c>
    </row>
    <row r="16" spans="3:9" x14ac:dyDescent="0.25">
      <c r="C16" t="s">
        <v>12</v>
      </c>
      <c r="D16">
        <v>42.4</v>
      </c>
      <c r="E16">
        <v>83.1</v>
      </c>
    </row>
    <row r="17" spans="3:5" x14ac:dyDescent="0.25">
      <c r="C17" t="s">
        <v>13</v>
      </c>
      <c r="D17">
        <v>41.5</v>
      </c>
      <c r="E17">
        <v>81.7</v>
      </c>
    </row>
    <row r="18" spans="3:5" x14ac:dyDescent="0.25">
      <c r="C18" t="s">
        <v>14</v>
      </c>
      <c r="D18">
        <v>39.799999999999997</v>
      </c>
      <c r="E18">
        <v>86.1</v>
      </c>
    </row>
    <row r="19" spans="3:5" x14ac:dyDescent="0.25">
      <c r="C19" t="s">
        <v>15</v>
      </c>
      <c r="D19">
        <v>39.799999999999997</v>
      </c>
      <c r="E19">
        <v>104.9</v>
      </c>
    </row>
    <row r="20" spans="3:5" x14ac:dyDescent="0.25">
      <c r="C20" t="s">
        <v>16</v>
      </c>
      <c r="D20">
        <v>45</v>
      </c>
      <c r="E20">
        <v>93.3</v>
      </c>
    </row>
    <row r="21" spans="3:5" x14ac:dyDescent="0.25">
      <c r="C21" t="s">
        <v>17</v>
      </c>
      <c r="D21">
        <v>33.5</v>
      </c>
      <c r="E21">
        <v>112.1</v>
      </c>
    </row>
    <row r="22" spans="3:5" x14ac:dyDescent="0.25">
      <c r="C22" t="s">
        <v>18</v>
      </c>
      <c r="D22">
        <v>40.799999999999997</v>
      </c>
      <c r="E22">
        <v>111.9</v>
      </c>
    </row>
    <row r="23" spans="3:5" x14ac:dyDescent="0.25">
      <c r="C23" t="s">
        <v>19</v>
      </c>
      <c r="D23">
        <v>34.1</v>
      </c>
      <c r="E23">
        <v>118.4</v>
      </c>
    </row>
    <row r="24" spans="3:5" x14ac:dyDescent="0.25">
      <c r="C24" t="s">
        <v>20</v>
      </c>
      <c r="D24">
        <v>37.799999999999997</v>
      </c>
      <c r="E24">
        <v>122.6</v>
      </c>
    </row>
    <row r="25" spans="3:5" x14ac:dyDescent="0.25">
      <c r="C25" t="s">
        <v>21</v>
      </c>
      <c r="D25">
        <v>32.799999999999997</v>
      </c>
      <c r="E25">
        <v>117.1</v>
      </c>
    </row>
    <row r="26" spans="3:5" x14ac:dyDescent="0.25">
      <c r="C26" t="s">
        <v>22</v>
      </c>
      <c r="D26">
        <v>41.6</v>
      </c>
      <c r="E26">
        <v>122.4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53F199C-F979-4E6E-A017-FC31555B6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FE14A54-ED17-4CC2-80CB-428B7054DE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6855E-1672-4033-A080-A704895DC579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city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Anush Giri</cp:lastModifiedBy>
  <dcterms:created xsi:type="dcterms:W3CDTF">2007-02-28T21:16:50Z</dcterms:created>
  <dcterms:modified xsi:type="dcterms:W3CDTF">2026-04-07T01:31:51Z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